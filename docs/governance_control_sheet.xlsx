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a\OneDrive\Documents\@ PROJECTS\FFNNs\IDS 2026\docs\"/>
    </mc:Choice>
  </mc:AlternateContent>
  <xr:revisionPtr revIDLastSave="0" documentId="8_{DF54EFB3-B5AE-47D1-87AA-B84821A071DC}" xr6:coauthVersionLast="47" xr6:coauthVersionMax="47" xr10:uidLastSave="{00000000-0000-0000-0000-000000000000}"/>
  <bookViews>
    <workbookView xWindow="-120" yWindow="-120" windowWidth="29040" windowHeight="15720" xr2:uid="{00000000-000D-0000-FFFF-FFFF00000000}"/>
  </bookViews>
  <sheets>
    <sheet name="Dashboard" sheetId="1" r:id="rId1"/>
    <sheet name="Control Sheet" sheetId="2" r:id="rId2"/>
    <sheet name="Metric Thresholds" sheetId="3" r:id="rId3"/>
    <sheet name="Evidence Register" sheetId="4" r:id="rId4"/>
    <sheet name="Sign-off" sheetId="5" r:id="rId5"/>
    <sheet name="Lists" sheetId="6"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1" l="1"/>
  <c r="E9" i="1"/>
  <c r="E8" i="1"/>
  <c r="E7" i="1"/>
  <c r="E6" i="1"/>
  <c r="E5" i="1"/>
</calcChain>
</file>

<file path=xl/sharedStrings.xml><?xml version="1.0" encoding="utf-8"?>
<sst xmlns="http://schemas.openxmlformats.org/spreadsheetml/2006/main" count="376" uniqueCount="221">
  <si>
    <t>Field</t>
  </si>
  <si>
    <t>Value</t>
  </si>
  <si>
    <t>Status</t>
  </si>
  <si>
    <t>Count</t>
  </si>
  <si>
    <t>Project</t>
  </si>
  <si>
    <t>Not started</t>
  </si>
  <si>
    <t>Model family</t>
  </si>
  <si>
    <t>GLM / FFNN / Hybrid</t>
  </si>
  <si>
    <t>In progress</t>
  </si>
  <si>
    <t>Use case</t>
  </si>
  <si>
    <t>IDI pricing / frequency-severity model</t>
  </si>
  <si>
    <t>Complete</t>
  </si>
  <si>
    <t>Version</t>
  </si>
  <si>
    <t>v1.0</t>
  </si>
  <si>
    <t>Review required</t>
  </si>
  <si>
    <t>Created</t>
  </si>
  <si>
    <t>N/A</t>
  </si>
  <si>
    <t>Total controls</t>
  </si>
  <si>
    <t>1. Start with the GLM as the governed baseline.
2. Add FFNN and hybrid results only if the same split, same exposure base, and same metric definitions are used.
3. Use this workbook as the evidence checklist before presenting model results.
4. Update the Evidence Register with links to notebooks, figures, scorecards, and exported artifacts.
5. Use Sign-off only after unresolved issues are clear and documented.</t>
  </si>
  <si>
    <t>Section</t>
  </si>
  <si>
    <t>Control objective</t>
  </si>
  <si>
    <t>Key control question</t>
  </si>
  <si>
    <t>Evidence required</t>
  </si>
  <si>
    <t>Risk rating</t>
  </si>
  <si>
    <t>Owner</t>
  </si>
  <si>
    <t>Due date</t>
  </si>
  <si>
    <t>Reviewer notes</t>
  </si>
  <si>
    <t>Scope and decision context</t>
  </si>
  <si>
    <t>Define intended use and model boundary</t>
  </si>
  <si>
    <t>Is the model purpose, decision owner, and permitted use clearly documented?</t>
  </si>
  <si>
    <t>Model purpose memo; pricing context; population and product definition</t>
  </si>
  <si>
    <t>High</t>
  </si>
  <si>
    <t>Define materiality and model role</t>
  </si>
  <si>
    <t>Is this an exploratory, advisory, or production model?</t>
  </si>
  <si>
    <t>Materiality assessment; decision-use classification</t>
  </si>
  <si>
    <t>Data and split controls</t>
  </si>
  <si>
    <t>Confirm data provenance</t>
  </si>
  <si>
    <t>Are source data, synthetic data generation, exclusions, and transformations documented?</t>
  </si>
  <si>
    <t>Data dictionary; data-generation script; exclusions log</t>
  </si>
  <si>
    <t>Use a defensible validation split</t>
  </si>
  <si>
    <t>Is the train/test split time-based and consistent across GLM, FFNN, and hybrids?</t>
  </si>
  <si>
    <t>Split date; row counts; exposure and claim counts by split</t>
  </si>
  <si>
    <t>Critical</t>
  </si>
  <si>
    <t>Prevent leakage</t>
  </si>
  <si>
    <t>Were future information, claim ultimate leakage, and target-derived features excluded?</t>
  </si>
  <si>
    <t>Leakage checklist; feature review</t>
  </si>
  <si>
    <t>Model specification</t>
  </si>
  <si>
    <t>Document the GLM baseline</t>
  </si>
  <si>
    <t>Are logit incidence and Tweedie severity definitions explicit and reproducible?</t>
  </si>
  <si>
    <t>Notebook 03; feature list; hyperparameters; model summary</t>
  </si>
  <si>
    <t>Document the FFNN challenger</t>
  </si>
  <si>
    <t>Are architecture, embeddings, loss functions, calibration steps, and seeds documented?</t>
  </si>
  <si>
    <t>Notebook 04; model card; architecture diagram</t>
  </si>
  <si>
    <t>Document hybrid alternatives</t>
  </si>
  <si>
    <t>Are Hybrid A and Hybrid B definitions and expected-cost formulas explicit?</t>
  </si>
  <si>
    <t>Hybrid formula sheet; scored artifacts; Notebook 05</t>
  </si>
  <si>
    <t>Medium</t>
  </si>
  <si>
    <t>Incidence validation</t>
  </si>
  <si>
    <t>Assess rare-event ranking</t>
  </si>
  <si>
    <t>Do AUC(PR), AUC(ROC), and Lift@10 show material and stable improvement?</t>
  </si>
  <si>
    <t>Incidence scorecard; lift curve; PR-AUC/ROC-AUC values</t>
  </si>
  <si>
    <t>Assess calibration</t>
  </si>
  <si>
    <t>Are calibration curve, ECE, mean predicted vs observed, and Brier score acceptable?</t>
  </si>
  <si>
    <t>Calibration curve; ECE table; Brier score</t>
  </si>
  <si>
    <t>Severity validation</t>
  </si>
  <si>
    <t>Assess level and bulk fit</t>
  </si>
  <si>
    <t>Are MAE and RMSE log1p acceptable on claim records?</t>
  </si>
  <si>
    <t>Severity metrics table; actual-vs-predicted log1p chart</t>
  </si>
  <si>
    <t>Assess large-claim behaviour</t>
  </si>
  <si>
    <t>Is Tail MAE (P90+) reviewed and are tail weaknesses documented?</t>
  </si>
  <si>
    <t>P90+ tail scatter; Tail MAE table; tail commentary</t>
  </si>
  <si>
    <t>Aggregate adequacy</t>
  </si>
  <si>
    <t>Reconcile to pure premium</t>
  </si>
  <si>
    <t>Are PP error and O/E computed consistently across all model families?</t>
  </si>
  <si>
    <t>Aggregate scorecard; expected cost reconciliation</t>
  </si>
  <si>
    <t>Assess portfolio reasonableness</t>
  </si>
  <si>
    <t>Is aggregate adequacy close enough to support the intended use?</t>
  </si>
  <si>
    <t>PP/OE table; benchmark comparison; management note</t>
  </si>
  <si>
    <t>Segment adequacy</t>
  </si>
  <si>
    <t>Detect pockets of mispricing</t>
  </si>
  <si>
    <t>Do segment O/E heatmaps reveal systematic over- or under-pricing?</t>
  </si>
  <si>
    <t>Region × season heatmaps; credibility filters</t>
  </si>
  <si>
    <t>Apply credibility controls</t>
  </si>
  <si>
    <t>Are low-credibility cells filtered or interpreted with caution?</t>
  </si>
  <si>
    <t>Credibility thresholds; masked heatmaps; cell counts</t>
  </si>
  <si>
    <t>Stability and drift</t>
  </si>
  <si>
    <t>Check time stability</t>
  </si>
  <si>
    <t>Are rolling-window or holdout results stable enough for the intended use?</t>
  </si>
  <si>
    <t>Rolling-window scorecard; confidence intervals; win rates</t>
  </si>
  <si>
    <t>Explainability</t>
  </si>
  <si>
    <t>Explain performance drivers</t>
  </si>
  <si>
    <t>Can the main drivers of model results be communicated to an actuarial reviewer?</t>
  </si>
  <si>
    <t>GLM coefficients; FFNN explanations; feature effects; sensitivity checks</t>
  </si>
  <si>
    <t>Operational readiness</t>
  </si>
  <si>
    <t>Ensure reproducibility</t>
  </si>
  <si>
    <t>Can the model outputs be regenerated from code, seed, and data version?</t>
  </si>
  <si>
    <t>Git commit hash; notebook run log; environment file; artifact manifest</t>
  </si>
  <si>
    <t>Define monitoring plan</t>
  </si>
  <si>
    <t>Are post-implementation metrics, drift checks, and escalation triggers defined?</t>
  </si>
  <si>
    <t>Monitoring plan; thresholds; owner and review cadence</t>
  </si>
  <si>
    <t>Sign-off</t>
  </si>
  <si>
    <t>Record decision and unresolved limitations</t>
  </si>
  <si>
    <t>Are limitations, conditions, and approvals documented before presentation or use?</t>
  </si>
  <si>
    <t>Completed Sign-off sheet; issue register; management summary</t>
  </si>
  <si>
    <t>Layer</t>
  </si>
  <si>
    <t>Metric</t>
  </si>
  <si>
    <t>Green / acceptable</t>
  </si>
  <si>
    <t>Amber / review</t>
  </si>
  <si>
    <t>Red / escalation</t>
  </si>
  <si>
    <t>Evidence / chart</t>
  </si>
  <si>
    <t>Notes</t>
  </si>
  <si>
    <t>Incidence</t>
  </si>
  <si>
    <t>AUC(PR)</t>
  </si>
  <si>
    <t>Improves materially vs baseline</t>
  </si>
  <si>
    <t>Small or unstable uplift</t>
  </si>
  <si>
    <t>Worse than baseline without justification</t>
  </si>
  <si>
    <t>PR-AUC table</t>
  </si>
  <si>
    <t>Rare-event ranking metric; compare on same test window.</t>
  </si>
  <si>
    <t>AUC(ROC)</t>
  </si>
  <si>
    <t>Improves or remains stable</t>
  </si>
  <si>
    <t>Marginal change</t>
  </si>
  <si>
    <t>Material deterioration</t>
  </si>
  <si>
    <t>ROC-AUC table</t>
  </si>
  <si>
    <t>Useful but less sensitive than PR-AUC for rare events.</t>
  </si>
  <si>
    <t>Calibration</t>
  </si>
  <si>
    <t>Mean predicted close to observed; ECE acceptable</t>
  </si>
  <si>
    <t>Visible bin gaps</t>
  </si>
  <si>
    <t>Systematic under/overprediction</t>
  </si>
  <si>
    <t>Calibration curve; ECE</t>
  </si>
  <si>
    <t>Pricing probabilities must be usable, not only well ranked.</t>
  </si>
  <si>
    <t>Brier score</t>
  </si>
  <si>
    <t>Lower than or comparable to baseline</t>
  </si>
  <si>
    <t>Slightly higher</t>
  </si>
  <si>
    <t>Materially higher</t>
  </si>
  <si>
    <t>Brier table</t>
  </si>
  <si>
    <t>Calibration-sensitive probability accuracy.</t>
  </si>
  <si>
    <t>Lift@10</t>
  </si>
  <si>
    <t>Higher than baseline and credible</t>
  </si>
  <si>
    <t>Small uplift</t>
  </si>
  <si>
    <t>Lower than baseline</t>
  </si>
  <si>
    <t>Cumulative claim capture curve</t>
  </si>
  <si>
    <t>Shows claims captured in highest-risk decile.</t>
  </si>
  <si>
    <t>Severity</t>
  </si>
  <si>
    <t>MAE</t>
  </si>
  <si>
    <t>Small deterioration</t>
  </si>
  <si>
    <t>Severity metrics table</t>
  </si>
  <si>
    <t>CHF scale; sensitive to large claims.</t>
  </si>
  <si>
    <t>RMSE log1p</t>
  </si>
  <si>
    <t>Actual vs predicted log1p chart</t>
  </si>
  <si>
    <t>Multiplicative error; more stable with heavy tails.</t>
  </si>
  <si>
    <t>Tail MAE (P90+)</t>
  </si>
  <si>
    <t>Acceptable tail error; no unexplained tail bias</t>
  </si>
  <si>
    <t>Tail weakness documented</t>
  </si>
  <si>
    <t>Severe tail under/overprediction</t>
  </si>
  <si>
    <t>P90+ actual vs predicted log1p chart</t>
  </si>
  <si>
    <t>Governance-critical for large claims.</t>
  </si>
  <si>
    <t>Aggregate</t>
  </si>
  <si>
    <t>PP error</t>
  </si>
  <si>
    <t>Within tolerance for intended use</t>
  </si>
  <si>
    <t>Slightly outside tolerance</t>
  </si>
  <si>
    <t>Material pricing error</t>
  </si>
  <si>
    <t>Aggregate PP chart</t>
  </si>
  <si>
    <t>Compute using same exposure base for all models.</t>
  </si>
  <si>
    <t>O/E</t>
  </si>
  <si>
    <t>Close to 1.00</t>
  </si>
  <si>
    <t>Moderate deviation</t>
  </si>
  <si>
    <t>Material deviation</t>
  </si>
  <si>
    <t>O/E table and chart</t>
  </si>
  <si>
    <t>Actual ÷ Expected; segment O/E also required.</t>
  </si>
  <si>
    <t>Artifact / evidence</t>
  </si>
  <si>
    <t>Generated by</t>
  </si>
  <si>
    <t>Location / link</t>
  </si>
  <si>
    <t>Required?</t>
  </si>
  <si>
    <t>Model purpose memo</t>
  </si>
  <si>
    <t>Scope</t>
  </si>
  <si>
    <t>All</t>
  </si>
  <si>
    <t>Manual</t>
  </si>
  <si>
    <t>Yes</t>
  </si>
  <si>
    <t>Data dictionary</t>
  </si>
  <si>
    <t>Data</t>
  </si>
  <si>
    <t>Data notebook / README</t>
  </si>
  <si>
    <t>Train/test split summary</t>
  </si>
  <si>
    <t>Notebook 02 / 03</t>
  </si>
  <si>
    <t>GLM incidence diagnostics</t>
  </si>
  <si>
    <t>GLM</t>
  </si>
  <si>
    <t>Notebook 03</t>
  </si>
  <si>
    <t>GLM severity diagnostics</t>
  </si>
  <si>
    <t>FFNN incidence diagnostics</t>
  </si>
  <si>
    <t>FFNN</t>
  </si>
  <si>
    <t>Notebook 04</t>
  </si>
  <si>
    <t>FFNN severity diagnostics</t>
  </si>
  <si>
    <t>Model comparison scorecard</t>
  </si>
  <si>
    <t>Notebook 05</t>
  </si>
  <si>
    <t>Segment O/E heatmaps</t>
  </si>
  <si>
    <t>Evaluation notebook</t>
  </si>
  <si>
    <t>Governance limitations note</t>
  </si>
  <si>
    <t>Governance</t>
  </si>
  <si>
    <t>Final management summary</t>
  </si>
  <si>
    <t>Reporting</t>
  </si>
  <si>
    <t>Slides / report</t>
  </si>
  <si>
    <t>Optional</t>
  </si>
  <si>
    <t>Model Governance Sign-off</t>
  </si>
  <si>
    <t>Role</t>
  </si>
  <si>
    <t>Name</t>
  </si>
  <si>
    <t>Decision</t>
  </si>
  <si>
    <t>Date</t>
  </si>
  <si>
    <t>Conditions / limitations</t>
  </si>
  <si>
    <t>Signature / initials</t>
  </si>
  <si>
    <t>Model developer</t>
  </si>
  <si>
    <t>Actuarial reviewer</t>
  </si>
  <si>
    <t>Model governance reviewer</t>
  </si>
  <si>
    <t>Business owner</t>
  </si>
  <si>
    <t>Decision rationale</t>
  </si>
  <si>
    <t>Low</t>
  </si>
  <si>
    <t>Approved</t>
  </si>
  <si>
    <t>Approved with conditions</t>
  </si>
  <si>
    <t>Deferred</t>
  </si>
  <si>
    <t>Rejected</t>
  </si>
  <si>
    <t>Recommended use</t>
  </si>
  <si>
    <t>Record the final decision, unresolved limitations, compensating controls, and whether the model is suitable for production consideration.</t>
  </si>
  <si>
    <t>Governance Control Sheet — A&amp;A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</si>
</sst>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1"/>
      <name val="Carlito"/>
    </font>
    <font>
      <b/>
      <sz val="11"/>
      <color rgb="FFFFFFFF"/>
      <name val="Carlito"/>
    </font>
    <font>
      <b/>
      <sz val="16"/>
      <color rgb="FFFFFFFF"/>
      <name val="Arial"/>
      <family val="2"/>
    </font>
    <font>
      <sz val="11"/>
      <name val="Arial"/>
      <family val="2"/>
    </font>
    <font>
      <b/>
      <sz val="11"/>
      <color rgb="FFFFFFFF"/>
      <name val="Arial"/>
      <family val="2"/>
    </font>
    <font>
      <sz val="16"/>
      <color rgb="FFFFFFFF"/>
      <name val="Arial"/>
      <family val="2"/>
    </font>
    <font>
      <i/>
      <sz val="11"/>
      <color rgb="FF4B5563"/>
      <name val="Arial"/>
      <family val="2"/>
    </font>
    <font>
      <b/>
      <sz val="11"/>
      <color rgb="FF1F2937"/>
      <name val="Arial"/>
      <family val="2"/>
    </font>
    <font>
      <sz val="11"/>
      <color rgb="FFFFFFFF"/>
      <name val="Arial"/>
      <family val="2"/>
    </font>
  </fonts>
  <fills count="5">
    <fill>
      <patternFill patternType="none"/>
    </fill>
    <fill>
      <patternFill patternType="gray125"/>
    </fill>
    <fill>
      <patternFill patternType="solid">
        <fgColor rgb="FF0F766E"/>
      </patternFill>
    </fill>
    <fill>
      <patternFill patternType="solid">
        <fgColor rgb="FF1F4E79"/>
      </patternFill>
    </fill>
    <fill>
      <patternFill patternType="solid">
        <fgColor rgb="FFD9EAF7"/>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3" fillId="0" borderId="0" xfId="0" applyFont="1" applyAlignment="1">
      <alignment wrapText="1"/>
    </xf>
    <xf numFmtId="0" fontId="3" fillId="0" borderId="0" xfId="0" applyFont="1"/>
    <xf numFmtId="0" fontId="4" fillId="2" borderId="0" xfId="0" applyFont="1" applyFill="1" applyAlignment="1">
      <alignment horizontal="center" vertical="center" wrapText="1"/>
    </xf>
    <xf numFmtId="0" fontId="3" fillId="0" borderId="0" xfId="0" applyFont="1" applyAlignment="1">
      <alignment vertical="top" wrapText="1"/>
    </xf>
    <xf numFmtId="164" fontId="3" fillId="0" borderId="0" xfId="0" applyNumberFormat="1" applyFont="1" applyAlignment="1">
      <alignment vertical="top" wrapText="1"/>
    </xf>
    <xf numFmtId="0" fontId="7" fillId="4" borderId="0" xfId="0" applyFont="1" applyFill="1" applyAlignment="1">
      <alignment horizontal="center" vertical="center" wrapText="1"/>
    </xf>
    <xf numFmtId="164" fontId="3" fillId="0" borderId="0" xfId="0" applyNumberFormat="1" applyFont="1" applyAlignment="1">
      <alignment horizontal="left" wrapText="1"/>
    </xf>
    <xf numFmtId="0" fontId="8" fillId="2" borderId="0" xfId="0" applyFont="1" applyFill="1" applyAlignment="1">
      <alignment horizontal="center" vertical="center" wrapText="1"/>
    </xf>
    <xf numFmtId="0" fontId="2" fillId="3" borderId="0" xfId="0" applyFont="1" applyFill="1" applyAlignment="1">
      <alignment horizontal="left" vertical="center" wrapText="1"/>
    </xf>
    <xf numFmtId="0" fontId="3" fillId="0" borderId="0" xfId="0" applyFont="1" applyAlignment="1">
      <alignment wrapText="1"/>
    </xf>
    <xf numFmtId="0" fontId="6" fillId="0" borderId="0" xfId="0" applyFont="1"/>
    <xf numFmtId="0" fontId="3" fillId="0" borderId="0" xfId="0" applyFont="1"/>
    <xf numFmtId="0" fontId="4" fillId="2" borderId="0" xfId="0" applyFont="1" applyFill="1" applyAlignment="1">
      <alignment horizontal="center" vertical="center" wrapText="1"/>
    </xf>
    <xf numFmtId="0" fontId="3" fillId="0" borderId="0" xfId="0" applyFont="1" applyAlignment="1">
      <alignment vertical="top" wrapText="1"/>
    </xf>
    <xf numFmtId="0" fontId="5" fillId="3" borderId="0" xfId="0" applyFont="1" applyFill="1" applyAlignment="1">
      <alignment horizontal="left" vertical="center" wrapText="1"/>
    </xf>
  </cellXfs>
  <cellStyles count="1">
    <cellStyle name="Normal" xfId="0" builtinId="0"/>
  </cellStyles>
  <dxfs count="16">
    <dxf>
      <font>
        <color rgb="FF92400E"/>
      </font>
      <fill>
        <patternFill patternType="solid">
          <bgColor rgb="FFFEF3C7"/>
        </patternFill>
      </fill>
    </dxf>
    <dxf>
      <font>
        <color rgb="FF991B1B"/>
      </font>
      <fill>
        <patternFill patternType="solid">
          <bgColor rgb="FFFEE2E2"/>
        </patternFill>
      </fill>
    </dxf>
    <dxf>
      <font>
        <color rgb="FF166534"/>
      </font>
      <fill>
        <patternFill patternType="solid">
          <bgColor rgb="FFDCFCE7"/>
        </patternFill>
      </fill>
    </dxf>
    <dxf>
      <font>
        <b/>
        <color rgb="FF7F1D1D"/>
      </font>
      <fill>
        <patternFill patternType="solid">
          <bgColor rgb="FFFCA5A5"/>
        </patternFill>
      </fill>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strike val="0"/>
        <outline val="0"/>
        <shadow val="0"/>
        <u val="none"/>
        <vertAlign val="baseline"/>
        <sz val="11"/>
        <name val="Arial"/>
        <family val="2"/>
        <scheme val="none"/>
      </font>
    </dxf>
    <dxf>
      <font>
        <b val="0"/>
        <strike val="0"/>
        <outline val="0"/>
        <shadow val="0"/>
        <u val="none"/>
        <vertAlign val="baseline"/>
        <sz val="1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Controls</c:v>
          </c:tx>
          <c:invertIfNegative val="1"/>
          <c:cat>
            <c:strRef>
              <c:f>Dashboard!$D$5:$D$9</c:f>
              <c:strCache>
                <c:ptCount val="5"/>
                <c:pt idx="0">
                  <c:v>Not started</c:v>
                </c:pt>
                <c:pt idx="1">
                  <c:v>In progress</c:v>
                </c:pt>
                <c:pt idx="2">
                  <c:v>Complete</c:v>
                </c:pt>
                <c:pt idx="3">
                  <c:v>Review required</c:v>
                </c:pt>
                <c:pt idx="4">
                  <c:v>N/A</c:v>
                </c:pt>
              </c:strCache>
            </c:strRef>
          </c:cat>
          <c:val>
            <c:numRef>
              <c:f>Dashboard!$E$5:$E$9</c:f>
              <c:numCache>
                <c:formatCode>General</c:formatCode>
                <c:ptCount val="5"/>
                <c:pt idx="0">
                  <c:v>21</c:v>
                </c:pt>
                <c:pt idx="1">
                  <c:v>0</c:v>
                </c:pt>
                <c:pt idx="2">
                  <c:v>0</c:v>
                </c:pt>
                <c:pt idx="3">
                  <c:v>0</c:v>
                </c:pt>
                <c:pt idx="4">
                  <c:v>0</c:v>
                </c:pt>
              </c:numCache>
            </c:numRef>
          </c:val>
          <c:extLst>
            <c:ext xmlns:c16="http://schemas.microsoft.com/office/drawing/2014/chart" uri="{C3380CC4-5D6E-409C-BE32-E72D297353CC}">
              <c16:uniqueId val="{00000000-3E46-42D6-B1D5-E202E20730C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3</xdr:row>
      <xdr:rowOff>0</xdr:rowOff>
    </xdr:from>
    <xdr:to>
      <xdr:col>14</xdr:col>
      <xdr:colOff>0</xdr:colOff>
      <xdr:row>18</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overnanceControls" displayName="GovernanceControls" ref="A1:I22" headerRowDxfId="15" dataDxfId="14" totalsRowDxfId="13">
  <autoFilter ref="A1:I22" xr:uid="{00000000-000C-0000-FFFF-FFFF00000000}"/>
  <tableColumns count="9">
    <tableColumn id="1" xr3:uid="{00000000-0010-0000-0000-000001000000}" name="Section" dataDxfId="12"/>
    <tableColumn id="2" xr3:uid="{00000000-0010-0000-0000-000002000000}" name="Control objective" dataDxfId="11"/>
    <tableColumn id="3" xr3:uid="{00000000-0010-0000-0000-000003000000}" name="Key control question" dataDxfId="10"/>
    <tableColumn id="4" xr3:uid="{00000000-0010-0000-0000-000004000000}" name="Evidence required" dataDxfId="9"/>
    <tableColumn id="5" xr3:uid="{00000000-0010-0000-0000-000005000000}" name="Risk rating" dataDxfId="8"/>
    <tableColumn id="6" xr3:uid="{00000000-0010-0000-0000-000006000000}" name="Status" dataDxfId="7"/>
    <tableColumn id="7" xr3:uid="{00000000-0010-0000-0000-000007000000}" name="Owner" dataDxfId="6"/>
    <tableColumn id="8" xr3:uid="{00000000-0010-0000-0000-000008000000}" name="Due date" dataDxfId="5"/>
    <tableColumn id="9" xr3:uid="{00000000-0010-0000-0000-000009000000}" name="Reviewer notes" dataDxfId="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etricThresholds" displayName="MetricThresholds" ref="A1:G11">
  <tableColumns count="7">
    <tableColumn id="1" xr3:uid="{00000000-0010-0000-0100-000001000000}" name="Layer"/>
    <tableColumn id="2" xr3:uid="{00000000-0010-0000-0100-000002000000}" name="Metric"/>
    <tableColumn id="3" xr3:uid="{00000000-0010-0000-0100-000003000000}" name="Green / acceptable"/>
    <tableColumn id="4" xr3:uid="{00000000-0010-0000-0100-000004000000}" name="Amber / review"/>
    <tableColumn id="5" xr3:uid="{00000000-0010-0000-0100-000005000000}" name="Red / escalation"/>
    <tableColumn id="6" xr3:uid="{00000000-0010-0000-0100-000006000000}" name="Evidence / chart"/>
    <tableColumn id="7" xr3:uid="{00000000-0010-0000-0100-000007000000}" name="Note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videnceRegister" displayName="EvidenceRegister" ref="A1:I12">
  <tableColumns count="9">
    <tableColumn id="1" xr3:uid="{00000000-0010-0000-0200-000001000000}" name="Artifact / evidence"/>
    <tableColumn id="2" xr3:uid="{00000000-0010-0000-0200-000002000000}" name="Layer"/>
    <tableColumn id="3" xr3:uid="{00000000-0010-0000-0200-000003000000}" name="Model family"/>
    <tableColumn id="4" xr3:uid="{00000000-0010-0000-0200-000004000000}" name="Generated by"/>
    <tableColumn id="5" xr3:uid="{00000000-0010-0000-0200-000005000000}" name="Location / link"/>
    <tableColumn id="6" xr3:uid="{00000000-0010-0000-0200-000006000000}" name="Required?"/>
    <tableColumn id="7" xr3:uid="{00000000-0010-0000-0200-000007000000}" name="Status"/>
    <tableColumn id="8" xr3:uid="{00000000-0010-0000-0200-000008000000}" name="Owner"/>
    <tableColumn id="9" xr3:uid="{00000000-0010-0000-0200-000009000000}" name="Notes"/>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7"/>
  <sheetViews>
    <sheetView showGridLines="0" tabSelected="1" workbookViewId="0">
      <selection sqref="A1:H1"/>
    </sheetView>
  </sheetViews>
  <sheetFormatPr defaultRowHeight="14.25"/>
  <cols>
    <col min="1" max="1" width="24" style="5" customWidth="1"/>
    <col min="2" max="2" width="34" style="5" customWidth="1"/>
    <col min="3" max="3" width="9" style="5"/>
    <col min="4" max="5" width="18" style="5" customWidth="1"/>
    <col min="6" max="16384" width="9" style="5"/>
  </cols>
  <sheetData>
    <row r="1" spans="1:26" ht="30" customHeight="1">
      <c r="A1" s="12" t="s">
        <v>220</v>
      </c>
      <c r="B1" s="13"/>
      <c r="C1" s="13"/>
      <c r="D1" s="13"/>
      <c r="E1" s="13"/>
      <c r="F1" s="13"/>
      <c r="G1" s="13"/>
      <c r="H1" s="13"/>
      <c r="I1" s="4"/>
      <c r="J1" s="4"/>
      <c r="K1" s="4"/>
      <c r="L1" s="4"/>
      <c r="M1" s="4"/>
      <c r="N1" s="4"/>
      <c r="O1" s="4"/>
      <c r="P1" s="4"/>
      <c r="Q1" s="4"/>
      <c r="R1" s="4"/>
      <c r="S1" s="4"/>
      <c r="T1" s="4"/>
      <c r="U1" s="4"/>
      <c r="V1" s="4"/>
      <c r="W1" s="4"/>
      <c r="X1" s="4"/>
      <c r="Y1" s="4"/>
      <c r="Z1" s="4"/>
    </row>
    <row r="2" spans="1:26">
      <c r="A2" s="14"/>
      <c r="B2" s="15"/>
      <c r="C2" s="15"/>
      <c r="D2" s="15"/>
      <c r="E2" s="15"/>
      <c r="F2" s="15"/>
      <c r="G2" s="15"/>
      <c r="H2" s="15"/>
    </row>
    <row r="4" spans="1:26" ht="15">
      <c r="A4" s="6" t="s">
        <v>0</v>
      </c>
      <c r="B4" s="6" t="s">
        <v>1</v>
      </c>
      <c r="D4" s="6" t="s">
        <v>2</v>
      </c>
      <c r="E4" s="6" t="s">
        <v>3</v>
      </c>
    </row>
    <row r="5" spans="1:26" ht="15">
      <c r="A5" s="9" t="s">
        <v>4</v>
      </c>
      <c r="B5" s="4"/>
      <c r="D5" s="9" t="s">
        <v>5</v>
      </c>
      <c r="E5" s="5">
        <f>COUNTIF('Control Sheet'!$F:$F,D5)</f>
        <v>21</v>
      </c>
    </row>
    <row r="6" spans="1:26" ht="15">
      <c r="A6" s="9" t="s">
        <v>6</v>
      </c>
      <c r="B6" s="4" t="s">
        <v>7</v>
      </c>
      <c r="D6" s="9" t="s">
        <v>8</v>
      </c>
      <c r="E6" s="5">
        <f>COUNTIF('Control Sheet'!$F:$F,D6)</f>
        <v>0</v>
      </c>
    </row>
    <row r="7" spans="1:26" ht="15">
      <c r="A7" s="9" t="s">
        <v>9</v>
      </c>
      <c r="B7" s="4" t="s">
        <v>10</v>
      </c>
      <c r="D7" s="9" t="s">
        <v>11</v>
      </c>
      <c r="E7" s="5">
        <f>COUNTIF('Control Sheet'!$F:$F,D7)</f>
        <v>0</v>
      </c>
    </row>
    <row r="8" spans="1:26" ht="15">
      <c r="A8" s="9" t="s">
        <v>12</v>
      </c>
      <c r="B8" s="4" t="s">
        <v>13</v>
      </c>
      <c r="D8" s="9" t="s">
        <v>14</v>
      </c>
      <c r="E8" s="5">
        <f>COUNTIF('Control Sheet'!$F:$F,D8)</f>
        <v>0</v>
      </c>
    </row>
    <row r="9" spans="1:26" ht="15">
      <c r="A9" s="9" t="s">
        <v>15</v>
      </c>
      <c r="B9" s="10">
        <v>46189.196641145834</v>
      </c>
      <c r="D9" s="9" t="s">
        <v>16</v>
      </c>
      <c r="E9" s="5">
        <f>COUNTIF('Control Sheet'!$F:$F,D9)</f>
        <v>0</v>
      </c>
    </row>
    <row r="10" spans="1:26" ht="15">
      <c r="D10" s="9" t="s">
        <v>17</v>
      </c>
      <c r="E10" s="5">
        <f>COUNTA('Control Sheet'!$A$2:$A$1000)</f>
        <v>21</v>
      </c>
    </row>
    <row r="12" spans="1:26">
      <c r="A12" s="16" t="s">
        <v>218</v>
      </c>
      <c r="B12" s="15"/>
      <c r="C12" s="15"/>
      <c r="D12" s="15"/>
      <c r="E12" s="15"/>
      <c r="F12" s="15"/>
      <c r="G12" s="15"/>
      <c r="H12" s="15"/>
    </row>
    <row r="13" spans="1:26">
      <c r="A13" s="17" t="s">
        <v>18</v>
      </c>
      <c r="B13" s="15" t="s">
        <v>18</v>
      </c>
      <c r="C13" s="15" t="s">
        <v>18</v>
      </c>
      <c r="D13" s="15" t="s">
        <v>18</v>
      </c>
      <c r="E13" s="15" t="s">
        <v>18</v>
      </c>
      <c r="F13" s="15" t="s">
        <v>18</v>
      </c>
      <c r="G13" s="15" t="s">
        <v>18</v>
      </c>
      <c r="H13" s="15" t="s">
        <v>18</v>
      </c>
    </row>
    <row r="14" spans="1:26">
      <c r="A14" s="15" t="s">
        <v>18</v>
      </c>
      <c r="B14" s="15" t="s">
        <v>18</v>
      </c>
      <c r="C14" s="15" t="s">
        <v>18</v>
      </c>
      <c r="D14" s="15" t="s">
        <v>18</v>
      </c>
      <c r="E14" s="15" t="s">
        <v>18</v>
      </c>
      <c r="F14" s="15" t="s">
        <v>18</v>
      </c>
      <c r="G14" s="15" t="s">
        <v>18</v>
      </c>
      <c r="H14" s="15" t="s">
        <v>18</v>
      </c>
    </row>
    <row r="15" spans="1:26">
      <c r="A15" s="15" t="s">
        <v>18</v>
      </c>
      <c r="B15" s="15" t="s">
        <v>18</v>
      </c>
      <c r="C15" s="15" t="s">
        <v>18</v>
      </c>
      <c r="D15" s="15" t="s">
        <v>18</v>
      </c>
      <c r="E15" s="15" t="s">
        <v>18</v>
      </c>
      <c r="F15" s="15" t="s">
        <v>18</v>
      </c>
      <c r="G15" s="15" t="s">
        <v>18</v>
      </c>
      <c r="H15" s="15" t="s">
        <v>18</v>
      </c>
    </row>
    <row r="16" spans="1:26">
      <c r="A16" s="15" t="s">
        <v>18</v>
      </c>
      <c r="B16" s="15" t="s">
        <v>18</v>
      </c>
      <c r="C16" s="15" t="s">
        <v>18</v>
      </c>
      <c r="D16" s="15" t="s">
        <v>18</v>
      </c>
      <c r="E16" s="15" t="s">
        <v>18</v>
      </c>
      <c r="F16" s="15" t="s">
        <v>18</v>
      </c>
      <c r="G16" s="15" t="s">
        <v>18</v>
      </c>
      <c r="H16" s="15" t="s">
        <v>18</v>
      </c>
    </row>
    <row r="17" spans="1:8">
      <c r="A17" s="15" t="s">
        <v>18</v>
      </c>
      <c r="B17" s="15" t="s">
        <v>18</v>
      </c>
      <c r="C17" s="15" t="s">
        <v>18</v>
      </c>
      <c r="D17" s="15" t="s">
        <v>18</v>
      </c>
      <c r="E17" s="15" t="s">
        <v>18</v>
      </c>
      <c r="F17" s="15" t="s">
        <v>18</v>
      </c>
      <c r="G17" s="15" t="s">
        <v>18</v>
      </c>
      <c r="H17" s="15" t="s">
        <v>18</v>
      </c>
    </row>
  </sheetData>
  <mergeCells count="4">
    <mergeCell ref="A1:H1"/>
    <mergeCell ref="A2:H2"/>
    <mergeCell ref="A12:H12"/>
    <mergeCell ref="A13:H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2"/>
  <sheetViews>
    <sheetView showGridLines="0" workbookViewId="0"/>
  </sheetViews>
  <sheetFormatPr defaultRowHeight="14.25"/>
  <cols>
    <col min="1" max="1" width="22" style="5" customWidth="1"/>
    <col min="2" max="2" width="28" style="5" customWidth="1"/>
    <col min="3" max="3" width="42" style="5" customWidth="1"/>
    <col min="4" max="4" width="38" style="5" customWidth="1"/>
    <col min="5" max="5" width="14" style="5" customWidth="1"/>
    <col min="6" max="7" width="18" style="5" customWidth="1"/>
    <col min="8" max="8" width="14" style="5" customWidth="1"/>
    <col min="9" max="9" width="38" style="5" customWidth="1"/>
    <col min="10" max="16384" width="9" style="5"/>
  </cols>
  <sheetData>
    <row r="1" spans="1:26">
      <c r="A1" s="11" t="s">
        <v>19</v>
      </c>
      <c r="B1" s="11" t="s">
        <v>20</v>
      </c>
      <c r="C1" s="11" t="s">
        <v>21</v>
      </c>
      <c r="D1" s="11" t="s">
        <v>22</v>
      </c>
      <c r="E1" s="11" t="s">
        <v>23</v>
      </c>
      <c r="F1" s="11" t="s">
        <v>2</v>
      </c>
      <c r="G1" s="11" t="s">
        <v>24</v>
      </c>
      <c r="H1" s="11" t="s">
        <v>25</v>
      </c>
      <c r="I1" s="11" t="s">
        <v>26</v>
      </c>
      <c r="J1" s="4"/>
      <c r="K1" s="4"/>
      <c r="L1" s="4"/>
      <c r="M1" s="4"/>
      <c r="N1" s="4"/>
      <c r="O1" s="4"/>
      <c r="P1" s="4"/>
      <c r="Q1" s="4"/>
      <c r="R1" s="4"/>
      <c r="S1" s="4"/>
      <c r="T1" s="4"/>
      <c r="U1" s="4"/>
      <c r="V1" s="4"/>
      <c r="W1" s="4"/>
      <c r="X1" s="4"/>
      <c r="Y1" s="4"/>
      <c r="Z1" s="4"/>
    </row>
    <row r="2" spans="1:26" ht="28.5">
      <c r="A2" s="7" t="s">
        <v>27</v>
      </c>
      <c r="B2" s="7" t="s">
        <v>28</v>
      </c>
      <c r="C2" s="7" t="s">
        <v>29</v>
      </c>
      <c r="D2" s="7" t="s">
        <v>30</v>
      </c>
      <c r="E2" s="7" t="s">
        <v>31</v>
      </c>
      <c r="F2" s="7" t="s">
        <v>5</v>
      </c>
      <c r="G2" s="7"/>
      <c r="H2" s="8"/>
      <c r="I2" s="7"/>
    </row>
    <row r="3" spans="1:26" ht="28.5">
      <c r="A3" s="7" t="s">
        <v>27</v>
      </c>
      <c r="B3" s="7" t="s">
        <v>32</v>
      </c>
      <c r="C3" s="7" t="s">
        <v>33</v>
      </c>
      <c r="D3" s="7" t="s">
        <v>34</v>
      </c>
      <c r="E3" s="7" t="s">
        <v>31</v>
      </c>
      <c r="F3" s="7" t="s">
        <v>5</v>
      </c>
      <c r="G3" s="7"/>
      <c r="H3" s="8"/>
      <c r="I3" s="7"/>
    </row>
    <row r="4" spans="1:26" ht="28.5">
      <c r="A4" s="7" t="s">
        <v>35</v>
      </c>
      <c r="B4" s="7" t="s">
        <v>36</v>
      </c>
      <c r="C4" s="7" t="s">
        <v>37</v>
      </c>
      <c r="D4" s="7" t="s">
        <v>38</v>
      </c>
      <c r="E4" s="7" t="s">
        <v>31</v>
      </c>
      <c r="F4" s="7" t="s">
        <v>5</v>
      </c>
      <c r="G4" s="7"/>
      <c r="H4" s="8"/>
      <c r="I4" s="7"/>
    </row>
    <row r="5" spans="1:26" ht="28.5">
      <c r="A5" s="7" t="s">
        <v>35</v>
      </c>
      <c r="B5" s="7" t="s">
        <v>39</v>
      </c>
      <c r="C5" s="7" t="s">
        <v>40</v>
      </c>
      <c r="D5" s="7" t="s">
        <v>41</v>
      </c>
      <c r="E5" s="7" t="s">
        <v>42</v>
      </c>
      <c r="F5" s="7" t="s">
        <v>5</v>
      </c>
      <c r="G5" s="7"/>
      <c r="H5" s="8"/>
      <c r="I5" s="7"/>
    </row>
    <row r="6" spans="1:26" ht="28.5">
      <c r="A6" s="7" t="s">
        <v>35</v>
      </c>
      <c r="B6" s="7" t="s">
        <v>43</v>
      </c>
      <c r="C6" s="7" t="s">
        <v>44</v>
      </c>
      <c r="D6" s="7" t="s">
        <v>45</v>
      </c>
      <c r="E6" s="7" t="s">
        <v>42</v>
      </c>
      <c r="F6" s="7" t="s">
        <v>5</v>
      </c>
      <c r="G6" s="7"/>
      <c r="H6" s="8"/>
      <c r="I6" s="7"/>
    </row>
    <row r="7" spans="1:26" ht="28.5">
      <c r="A7" s="7" t="s">
        <v>46</v>
      </c>
      <c r="B7" s="7" t="s">
        <v>47</v>
      </c>
      <c r="C7" s="7" t="s">
        <v>48</v>
      </c>
      <c r="D7" s="7" t="s">
        <v>49</v>
      </c>
      <c r="E7" s="7" t="s">
        <v>31</v>
      </c>
      <c r="F7" s="7" t="s">
        <v>5</v>
      </c>
      <c r="G7" s="7"/>
      <c r="H7" s="8"/>
      <c r="I7" s="7"/>
    </row>
    <row r="8" spans="1:26" ht="28.5">
      <c r="A8" s="7" t="s">
        <v>46</v>
      </c>
      <c r="B8" s="7" t="s">
        <v>50</v>
      </c>
      <c r="C8" s="7" t="s">
        <v>51</v>
      </c>
      <c r="D8" s="7" t="s">
        <v>52</v>
      </c>
      <c r="E8" s="7" t="s">
        <v>31</v>
      </c>
      <c r="F8" s="7" t="s">
        <v>5</v>
      </c>
      <c r="G8" s="7"/>
      <c r="H8" s="8"/>
      <c r="I8" s="7"/>
    </row>
    <row r="9" spans="1:26" ht="28.5">
      <c r="A9" s="7" t="s">
        <v>46</v>
      </c>
      <c r="B9" s="7" t="s">
        <v>53</v>
      </c>
      <c r="C9" s="7" t="s">
        <v>54</v>
      </c>
      <c r="D9" s="7" t="s">
        <v>55</v>
      </c>
      <c r="E9" s="7" t="s">
        <v>56</v>
      </c>
      <c r="F9" s="7" t="s">
        <v>5</v>
      </c>
      <c r="G9" s="7"/>
      <c r="H9" s="8"/>
      <c r="I9" s="7"/>
    </row>
    <row r="10" spans="1:26" ht="28.5">
      <c r="A10" s="7" t="s">
        <v>57</v>
      </c>
      <c r="B10" s="7" t="s">
        <v>58</v>
      </c>
      <c r="C10" s="7" t="s">
        <v>59</v>
      </c>
      <c r="D10" s="7" t="s">
        <v>60</v>
      </c>
      <c r="E10" s="7" t="s">
        <v>31</v>
      </c>
      <c r="F10" s="7" t="s">
        <v>5</v>
      </c>
      <c r="G10" s="7"/>
      <c r="H10" s="8"/>
      <c r="I10" s="7"/>
    </row>
    <row r="11" spans="1:26" ht="28.5">
      <c r="A11" s="7" t="s">
        <v>57</v>
      </c>
      <c r="B11" s="7" t="s">
        <v>61</v>
      </c>
      <c r="C11" s="7" t="s">
        <v>62</v>
      </c>
      <c r="D11" s="7" t="s">
        <v>63</v>
      </c>
      <c r="E11" s="7" t="s">
        <v>42</v>
      </c>
      <c r="F11" s="7" t="s">
        <v>5</v>
      </c>
      <c r="G11" s="7"/>
      <c r="H11" s="8"/>
      <c r="I11" s="7"/>
    </row>
    <row r="12" spans="1:26" ht="28.5">
      <c r="A12" s="7" t="s">
        <v>64</v>
      </c>
      <c r="B12" s="7" t="s">
        <v>65</v>
      </c>
      <c r="C12" s="7" t="s">
        <v>66</v>
      </c>
      <c r="D12" s="7" t="s">
        <v>67</v>
      </c>
      <c r="E12" s="7" t="s">
        <v>31</v>
      </c>
      <c r="F12" s="7" t="s">
        <v>5</v>
      </c>
      <c r="G12" s="7"/>
      <c r="H12" s="8"/>
      <c r="I12" s="7"/>
    </row>
    <row r="13" spans="1:26" ht="28.5">
      <c r="A13" s="7" t="s">
        <v>64</v>
      </c>
      <c r="B13" s="7" t="s">
        <v>68</v>
      </c>
      <c r="C13" s="7" t="s">
        <v>69</v>
      </c>
      <c r="D13" s="7" t="s">
        <v>70</v>
      </c>
      <c r="E13" s="7" t="s">
        <v>42</v>
      </c>
      <c r="F13" s="7" t="s">
        <v>5</v>
      </c>
      <c r="G13" s="7"/>
      <c r="H13" s="8"/>
      <c r="I13" s="7"/>
    </row>
    <row r="14" spans="1:26" ht="28.5">
      <c r="A14" s="7" t="s">
        <v>71</v>
      </c>
      <c r="B14" s="7" t="s">
        <v>72</v>
      </c>
      <c r="C14" s="7" t="s">
        <v>73</v>
      </c>
      <c r="D14" s="7" t="s">
        <v>74</v>
      </c>
      <c r="E14" s="7" t="s">
        <v>42</v>
      </c>
      <c r="F14" s="7" t="s">
        <v>5</v>
      </c>
      <c r="G14" s="7"/>
      <c r="H14" s="8"/>
      <c r="I14" s="7"/>
    </row>
    <row r="15" spans="1:26" ht="28.5">
      <c r="A15" s="7" t="s">
        <v>71</v>
      </c>
      <c r="B15" s="7" t="s">
        <v>75</v>
      </c>
      <c r="C15" s="7" t="s">
        <v>76</v>
      </c>
      <c r="D15" s="7" t="s">
        <v>77</v>
      </c>
      <c r="E15" s="7" t="s">
        <v>31</v>
      </c>
      <c r="F15" s="7" t="s">
        <v>5</v>
      </c>
      <c r="G15" s="7"/>
      <c r="H15" s="8"/>
      <c r="I15" s="7"/>
    </row>
    <row r="16" spans="1:26" ht="28.5">
      <c r="A16" s="7" t="s">
        <v>78</v>
      </c>
      <c r="B16" s="7" t="s">
        <v>79</v>
      </c>
      <c r="C16" s="7" t="s">
        <v>80</v>
      </c>
      <c r="D16" s="7" t="s">
        <v>81</v>
      </c>
      <c r="E16" s="7" t="s">
        <v>42</v>
      </c>
      <c r="F16" s="7" t="s">
        <v>5</v>
      </c>
      <c r="G16" s="7"/>
      <c r="H16" s="8"/>
      <c r="I16" s="7"/>
    </row>
    <row r="17" spans="1:9" ht="28.5">
      <c r="A17" s="7" t="s">
        <v>78</v>
      </c>
      <c r="B17" s="7" t="s">
        <v>82</v>
      </c>
      <c r="C17" s="7" t="s">
        <v>83</v>
      </c>
      <c r="D17" s="7" t="s">
        <v>84</v>
      </c>
      <c r="E17" s="7" t="s">
        <v>31</v>
      </c>
      <c r="F17" s="7" t="s">
        <v>5</v>
      </c>
      <c r="G17" s="7"/>
      <c r="H17" s="8"/>
      <c r="I17" s="7"/>
    </row>
    <row r="18" spans="1:9" ht="28.5">
      <c r="A18" s="7" t="s">
        <v>85</v>
      </c>
      <c r="B18" s="7" t="s">
        <v>86</v>
      </c>
      <c r="C18" s="7" t="s">
        <v>87</v>
      </c>
      <c r="D18" s="7" t="s">
        <v>88</v>
      </c>
      <c r="E18" s="7" t="s">
        <v>31</v>
      </c>
      <c r="F18" s="7" t="s">
        <v>5</v>
      </c>
      <c r="G18" s="7"/>
      <c r="H18" s="8"/>
      <c r="I18" s="7"/>
    </row>
    <row r="19" spans="1:9" ht="28.5">
      <c r="A19" s="7" t="s">
        <v>89</v>
      </c>
      <c r="B19" s="7" t="s">
        <v>90</v>
      </c>
      <c r="C19" s="7" t="s">
        <v>91</v>
      </c>
      <c r="D19" s="7" t="s">
        <v>92</v>
      </c>
      <c r="E19" s="7" t="s">
        <v>56</v>
      </c>
      <c r="F19" s="7" t="s">
        <v>5</v>
      </c>
      <c r="G19" s="7"/>
      <c r="H19" s="8"/>
      <c r="I19" s="7"/>
    </row>
    <row r="20" spans="1:9" ht="28.5">
      <c r="A20" s="7" t="s">
        <v>93</v>
      </c>
      <c r="B20" s="7" t="s">
        <v>94</v>
      </c>
      <c r="C20" s="7" t="s">
        <v>95</v>
      </c>
      <c r="D20" s="7" t="s">
        <v>96</v>
      </c>
      <c r="E20" s="7" t="s">
        <v>42</v>
      </c>
      <c r="F20" s="7" t="s">
        <v>5</v>
      </c>
      <c r="G20" s="7"/>
      <c r="H20" s="8"/>
      <c r="I20" s="7"/>
    </row>
    <row r="21" spans="1:9" ht="28.5">
      <c r="A21" s="7" t="s">
        <v>93</v>
      </c>
      <c r="B21" s="7" t="s">
        <v>97</v>
      </c>
      <c r="C21" s="7" t="s">
        <v>98</v>
      </c>
      <c r="D21" s="7" t="s">
        <v>99</v>
      </c>
      <c r="E21" s="7" t="s">
        <v>31</v>
      </c>
      <c r="F21" s="7" t="s">
        <v>5</v>
      </c>
      <c r="G21" s="7"/>
      <c r="H21" s="8"/>
      <c r="I21" s="7"/>
    </row>
    <row r="22" spans="1:9" ht="28.5">
      <c r="A22" s="7" t="s">
        <v>100</v>
      </c>
      <c r="B22" s="7" t="s">
        <v>101</v>
      </c>
      <c r="C22" s="7" t="s">
        <v>102</v>
      </c>
      <c r="D22" s="7" t="s">
        <v>103</v>
      </c>
      <c r="E22" s="7" t="s">
        <v>42</v>
      </c>
      <c r="F22" s="7" t="s">
        <v>5</v>
      </c>
      <c r="G22" s="7"/>
      <c r="H22" s="8"/>
      <c r="I22" s="7"/>
    </row>
  </sheetData>
  <conditionalFormatting sqref="E2:E22">
    <cfRule type="expression" dxfId="3" priority="4">
      <formula>E2="Critical"</formula>
    </cfRule>
  </conditionalFormatting>
  <conditionalFormatting sqref="F2:F22">
    <cfRule type="expression" dxfId="2" priority="1">
      <formula>F2="Complete"</formula>
    </cfRule>
    <cfRule type="expression" dxfId="1" priority="2">
      <formula>F2="Review required"</formula>
    </cfRule>
    <cfRule type="expression" dxfId="0" priority="3">
      <formula>F2="In progress"</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xr:uid="{00000000-0002-0000-0100-000000000000}">
          <x14:formula1>
            <xm:f>Lists!$C$2:$C$5</xm:f>
          </x14:formula1>
          <xm:sqref>E2:E22</xm:sqref>
        </x14:dataValidation>
        <x14:dataValidation type="list" xr:uid="{00000000-0002-0000-0100-000001000000}">
          <x14:formula1>
            <xm:f>Lists!$A$2:$A$6</xm:f>
          </x14:formula1>
          <xm:sqref>F2:F22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1"/>
  <sheetViews>
    <sheetView showGridLines="0" workbookViewId="0"/>
  </sheetViews>
  <sheetFormatPr defaultRowHeight="14.25"/>
  <cols>
    <col min="1" max="1" width="16" customWidth="1"/>
    <col min="2" max="2" width="18" customWidth="1"/>
    <col min="3" max="6" width="28" customWidth="1"/>
    <col min="7" max="7" width="42" customWidth="1"/>
  </cols>
  <sheetData>
    <row r="1" spans="1:26" ht="15">
      <c r="A1" s="1" t="s">
        <v>104</v>
      </c>
      <c r="B1" s="1" t="s">
        <v>105</v>
      </c>
      <c r="C1" s="1" t="s">
        <v>106</v>
      </c>
      <c r="D1" s="1" t="s">
        <v>107</v>
      </c>
      <c r="E1" s="1" t="s">
        <v>108</v>
      </c>
      <c r="F1" s="1" t="s">
        <v>109</v>
      </c>
      <c r="G1" s="1" t="s">
        <v>110</v>
      </c>
      <c r="H1" s="2"/>
      <c r="I1" s="2"/>
      <c r="J1" s="2"/>
      <c r="K1" s="2"/>
      <c r="L1" s="2"/>
      <c r="M1" s="2"/>
      <c r="N1" s="2"/>
      <c r="O1" s="2"/>
      <c r="P1" s="2"/>
      <c r="Q1" s="2"/>
      <c r="R1" s="2"/>
      <c r="S1" s="2"/>
      <c r="T1" s="2"/>
      <c r="U1" s="2"/>
      <c r="V1" s="2"/>
      <c r="W1" s="2"/>
      <c r="X1" s="2"/>
      <c r="Y1" s="2"/>
      <c r="Z1" s="2"/>
    </row>
    <row r="2" spans="1:26" ht="28.5">
      <c r="A2" s="3" t="s">
        <v>111</v>
      </c>
      <c r="B2" s="3" t="s">
        <v>112</v>
      </c>
      <c r="C2" s="3" t="s">
        <v>113</v>
      </c>
      <c r="D2" s="3" t="s">
        <v>114</v>
      </c>
      <c r="E2" s="3" t="s">
        <v>115</v>
      </c>
      <c r="F2" s="3" t="s">
        <v>116</v>
      </c>
      <c r="G2" s="3" t="s">
        <v>117</v>
      </c>
    </row>
    <row r="3" spans="1:26" ht="28.5">
      <c r="A3" s="3" t="s">
        <v>111</v>
      </c>
      <c r="B3" s="3" t="s">
        <v>118</v>
      </c>
      <c r="C3" s="3" t="s">
        <v>119</v>
      </c>
      <c r="D3" s="3" t="s">
        <v>120</v>
      </c>
      <c r="E3" s="3" t="s">
        <v>121</v>
      </c>
      <c r="F3" s="3" t="s">
        <v>122</v>
      </c>
      <c r="G3" s="3" t="s">
        <v>123</v>
      </c>
    </row>
    <row r="4" spans="1:26" ht="28.5">
      <c r="A4" s="3" t="s">
        <v>111</v>
      </c>
      <c r="B4" s="3" t="s">
        <v>124</v>
      </c>
      <c r="C4" s="3" t="s">
        <v>125</v>
      </c>
      <c r="D4" s="3" t="s">
        <v>126</v>
      </c>
      <c r="E4" s="3" t="s">
        <v>127</v>
      </c>
      <c r="F4" s="3" t="s">
        <v>128</v>
      </c>
      <c r="G4" s="3" t="s">
        <v>129</v>
      </c>
    </row>
    <row r="5" spans="1:26" ht="28.5">
      <c r="A5" s="3" t="s">
        <v>111</v>
      </c>
      <c r="B5" s="3" t="s">
        <v>130</v>
      </c>
      <c r="C5" s="3" t="s">
        <v>131</v>
      </c>
      <c r="D5" s="3" t="s">
        <v>132</v>
      </c>
      <c r="E5" s="3" t="s">
        <v>133</v>
      </c>
      <c r="F5" s="3" t="s">
        <v>134</v>
      </c>
      <c r="G5" s="3" t="s">
        <v>135</v>
      </c>
    </row>
    <row r="6" spans="1:26" ht="28.5">
      <c r="A6" s="3" t="s">
        <v>111</v>
      </c>
      <c r="B6" s="3" t="s">
        <v>136</v>
      </c>
      <c r="C6" s="3" t="s">
        <v>137</v>
      </c>
      <c r="D6" s="3" t="s">
        <v>138</v>
      </c>
      <c r="E6" s="3" t="s">
        <v>139</v>
      </c>
      <c r="F6" s="3" t="s">
        <v>140</v>
      </c>
      <c r="G6" s="3" t="s">
        <v>141</v>
      </c>
    </row>
    <row r="7" spans="1:26" ht="28.5">
      <c r="A7" s="3" t="s">
        <v>142</v>
      </c>
      <c r="B7" s="3" t="s">
        <v>143</v>
      </c>
      <c r="C7" s="3" t="s">
        <v>131</v>
      </c>
      <c r="D7" s="3" t="s">
        <v>144</v>
      </c>
      <c r="E7" s="3" t="s">
        <v>121</v>
      </c>
      <c r="F7" s="3" t="s">
        <v>145</v>
      </c>
      <c r="G7" s="3" t="s">
        <v>146</v>
      </c>
    </row>
    <row r="8" spans="1:26" ht="28.5">
      <c r="A8" s="3" t="s">
        <v>142</v>
      </c>
      <c r="B8" s="3" t="s">
        <v>147</v>
      </c>
      <c r="C8" s="3" t="s">
        <v>131</v>
      </c>
      <c r="D8" s="3" t="s">
        <v>144</v>
      </c>
      <c r="E8" s="3" t="s">
        <v>121</v>
      </c>
      <c r="F8" s="3" t="s">
        <v>148</v>
      </c>
      <c r="G8" s="3" t="s">
        <v>149</v>
      </c>
    </row>
    <row r="9" spans="1:26" ht="28.5">
      <c r="A9" s="3" t="s">
        <v>142</v>
      </c>
      <c r="B9" s="3" t="s">
        <v>150</v>
      </c>
      <c r="C9" s="3" t="s">
        <v>151</v>
      </c>
      <c r="D9" s="3" t="s">
        <v>152</v>
      </c>
      <c r="E9" s="3" t="s">
        <v>153</v>
      </c>
      <c r="F9" s="3" t="s">
        <v>154</v>
      </c>
      <c r="G9" s="3" t="s">
        <v>155</v>
      </c>
    </row>
    <row r="10" spans="1:26" ht="28.5">
      <c r="A10" s="3" t="s">
        <v>156</v>
      </c>
      <c r="B10" s="3" t="s">
        <v>157</v>
      </c>
      <c r="C10" s="3" t="s">
        <v>158</v>
      </c>
      <c r="D10" s="3" t="s">
        <v>159</v>
      </c>
      <c r="E10" s="3" t="s">
        <v>160</v>
      </c>
      <c r="F10" s="3" t="s">
        <v>161</v>
      </c>
      <c r="G10" s="3" t="s">
        <v>162</v>
      </c>
    </row>
    <row r="11" spans="1:26">
      <c r="A11" s="3" t="s">
        <v>156</v>
      </c>
      <c r="B11" s="3" t="s">
        <v>163</v>
      </c>
      <c r="C11" s="3" t="s">
        <v>164</v>
      </c>
      <c r="D11" s="3" t="s">
        <v>165</v>
      </c>
      <c r="E11" s="3" t="s">
        <v>166</v>
      </c>
      <c r="F11" s="3" t="s">
        <v>167</v>
      </c>
      <c r="G11" s="3" t="s">
        <v>168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2"/>
  <sheetViews>
    <sheetView showGridLines="0" workbookViewId="0">
      <selection activeCell="A12" sqref="A12"/>
    </sheetView>
  </sheetViews>
  <sheetFormatPr defaultRowHeight="14.25"/>
  <cols>
    <col min="1" max="1" width="28" customWidth="1"/>
    <col min="2" max="3" width="18" customWidth="1"/>
    <col min="4" max="4" width="24" customWidth="1"/>
    <col min="5" max="5" width="36" customWidth="1"/>
    <col min="6" max="6" width="12" customWidth="1"/>
    <col min="7" max="8" width="18" customWidth="1"/>
    <col min="9" max="9" width="36" customWidth="1"/>
  </cols>
  <sheetData>
    <row r="1" spans="1:26" ht="15">
      <c r="A1" s="1" t="s">
        <v>169</v>
      </c>
      <c r="B1" s="1" t="s">
        <v>104</v>
      </c>
      <c r="C1" s="1" t="s">
        <v>6</v>
      </c>
      <c r="D1" s="1" t="s">
        <v>170</v>
      </c>
      <c r="E1" s="1" t="s">
        <v>171</v>
      </c>
      <c r="F1" s="1" t="s">
        <v>172</v>
      </c>
      <c r="G1" s="1" t="s">
        <v>2</v>
      </c>
      <c r="H1" s="1" t="s">
        <v>24</v>
      </c>
      <c r="I1" s="1" t="s">
        <v>110</v>
      </c>
      <c r="J1" s="2"/>
      <c r="K1" s="2"/>
      <c r="L1" s="2"/>
      <c r="M1" s="2"/>
      <c r="N1" s="2"/>
      <c r="O1" s="2"/>
      <c r="P1" s="2"/>
      <c r="Q1" s="2"/>
      <c r="R1" s="2"/>
      <c r="S1" s="2"/>
      <c r="T1" s="2"/>
      <c r="U1" s="2"/>
      <c r="V1" s="2"/>
      <c r="W1" s="2"/>
      <c r="X1" s="2"/>
      <c r="Y1" s="2"/>
      <c r="Z1" s="2"/>
    </row>
    <row r="2" spans="1:26">
      <c r="A2" s="3" t="s">
        <v>173</v>
      </c>
      <c r="B2" s="3" t="s">
        <v>174</v>
      </c>
      <c r="C2" s="3" t="s">
        <v>175</v>
      </c>
      <c r="D2" s="3" t="s">
        <v>176</v>
      </c>
      <c r="E2" s="3"/>
      <c r="F2" s="3" t="s">
        <v>177</v>
      </c>
      <c r="G2" s="3" t="s">
        <v>5</v>
      </c>
      <c r="H2" s="3"/>
      <c r="I2" s="3"/>
    </row>
    <row r="3" spans="1:26">
      <c r="A3" s="3" t="s">
        <v>178</v>
      </c>
      <c r="B3" s="3" t="s">
        <v>179</v>
      </c>
      <c r="C3" s="3" t="s">
        <v>175</v>
      </c>
      <c r="D3" s="3" t="s">
        <v>180</v>
      </c>
      <c r="E3" s="3"/>
      <c r="F3" s="3" t="s">
        <v>177</v>
      </c>
      <c r="G3" s="3" t="s">
        <v>5</v>
      </c>
      <c r="H3" s="3"/>
      <c r="I3" s="3"/>
    </row>
    <row r="4" spans="1:26">
      <c r="A4" s="3" t="s">
        <v>181</v>
      </c>
      <c r="B4" s="3" t="s">
        <v>179</v>
      </c>
      <c r="C4" s="3" t="s">
        <v>175</v>
      </c>
      <c r="D4" s="3" t="s">
        <v>182</v>
      </c>
      <c r="E4" s="3"/>
      <c r="F4" s="3" t="s">
        <v>177</v>
      </c>
      <c r="G4" s="3" t="s">
        <v>5</v>
      </c>
      <c r="H4" s="3"/>
      <c r="I4" s="3"/>
    </row>
    <row r="5" spans="1:26">
      <c r="A5" s="3" t="s">
        <v>183</v>
      </c>
      <c r="B5" s="3" t="s">
        <v>111</v>
      </c>
      <c r="C5" s="3" t="s">
        <v>184</v>
      </c>
      <c r="D5" s="3" t="s">
        <v>185</v>
      </c>
      <c r="E5" s="3"/>
      <c r="F5" s="3" t="s">
        <v>177</v>
      </c>
      <c r="G5" s="3" t="s">
        <v>5</v>
      </c>
      <c r="H5" s="3"/>
      <c r="I5" s="3"/>
    </row>
    <row r="6" spans="1:26">
      <c r="A6" s="3" t="s">
        <v>186</v>
      </c>
      <c r="B6" s="3" t="s">
        <v>142</v>
      </c>
      <c r="C6" s="3" t="s">
        <v>184</v>
      </c>
      <c r="D6" s="3" t="s">
        <v>185</v>
      </c>
      <c r="E6" s="3"/>
      <c r="F6" s="3" t="s">
        <v>177</v>
      </c>
      <c r="G6" s="3" t="s">
        <v>5</v>
      </c>
      <c r="H6" s="3"/>
      <c r="I6" s="3"/>
    </row>
    <row r="7" spans="1:26">
      <c r="A7" s="3" t="s">
        <v>187</v>
      </c>
      <c r="B7" s="3" t="s">
        <v>111</v>
      </c>
      <c r="C7" s="3" t="s">
        <v>188</v>
      </c>
      <c r="D7" s="3" t="s">
        <v>189</v>
      </c>
      <c r="E7" s="3"/>
      <c r="F7" s="3" t="s">
        <v>177</v>
      </c>
      <c r="G7" s="3" t="s">
        <v>5</v>
      </c>
      <c r="H7" s="3"/>
      <c r="I7" s="3"/>
    </row>
    <row r="8" spans="1:26">
      <c r="A8" s="3" t="s">
        <v>190</v>
      </c>
      <c r="B8" s="3" t="s">
        <v>142</v>
      </c>
      <c r="C8" s="3" t="s">
        <v>188</v>
      </c>
      <c r="D8" s="3" t="s">
        <v>189</v>
      </c>
      <c r="E8" s="3"/>
      <c r="F8" s="3" t="s">
        <v>177</v>
      </c>
      <c r="G8" s="3" t="s">
        <v>5</v>
      </c>
      <c r="H8" s="3"/>
      <c r="I8" s="3"/>
    </row>
    <row r="9" spans="1:26">
      <c r="A9" s="3" t="s">
        <v>191</v>
      </c>
      <c r="B9" s="3" t="s">
        <v>156</v>
      </c>
      <c r="C9" s="3" t="s">
        <v>7</v>
      </c>
      <c r="D9" s="3" t="s">
        <v>192</v>
      </c>
      <c r="E9" s="3"/>
      <c r="F9" s="3" t="s">
        <v>177</v>
      </c>
      <c r="G9" s="3" t="s">
        <v>5</v>
      </c>
      <c r="H9" s="3"/>
      <c r="I9" s="3"/>
    </row>
    <row r="10" spans="1:26">
      <c r="A10" s="3" t="s">
        <v>193</v>
      </c>
      <c r="B10" s="3" t="s">
        <v>78</v>
      </c>
      <c r="C10" s="3" t="s">
        <v>175</v>
      </c>
      <c r="D10" s="3" t="s">
        <v>194</v>
      </c>
      <c r="E10" s="3"/>
      <c r="F10" s="3" t="s">
        <v>177</v>
      </c>
      <c r="G10" s="3" t="s">
        <v>5</v>
      </c>
      <c r="H10" s="3"/>
      <c r="I10" s="3"/>
    </row>
    <row r="11" spans="1:26">
      <c r="A11" s="3" t="s">
        <v>195</v>
      </c>
      <c r="B11" s="3" t="s">
        <v>196</v>
      </c>
      <c r="C11" s="3" t="s">
        <v>175</v>
      </c>
      <c r="D11" s="3" t="s">
        <v>176</v>
      </c>
      <c r="E11" s="3"/>
      <c r="F11" s="3" t="s">
        <v>177</v>
      </c>
      <c r="G11" s="3" t="s">
        <v>5</v>
      </c>
      <c r="H11" s="3"/>
      <c r="I11" s="3"/>
    </row>
    <row r="12" spans="1:26">
      <c r="A12" s="3" t="s">
        <v>197</v>
      </c>
      <c r="B12" s="3" t="s">
        <v>198</v>
      </c>
      <c r="C12" s="3" t="s">
        <v>175</v>
      </c>
      <c r="D12" s="3" t="s">
        <v>199</v>
      </c>
      <c r="E12" s="3"/>
      <c r="F12" s="3" t="s">
        <v>200</v>
      </c>
      <c r="G12" s="3" t="s">
        <v>5</v>
      </c>
      <c r="H12" s="3"/>
      <c r="I12" s="3"/>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300-000000000000}">
          <x14:formula1>
            <xm:f>Lists!$A$2:$A$6</xm:f>
          </x14:formula1>
          <xm:sqref>G2:G12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8"/>
  <sheetViews>
    <sheetView showGridLines="0" workbookViewId="0">
      <selection activeCell="A8" sqref="A8"/>
    </sheetView>
  </sheetViews>
  <sheetFormatPr defaultRowHeight="14.25"/>
  <cols>
    <col min="1" max="1" width="24" style="5" customWidth="1"/>
    <col min="2" max="2" width="22" style="5" customWidth="1"/>
    <col min="3" max="3" width="28" style="5" customWidth="1"/>
    <col min="4" max="4" width="14" style="5" customWidth="1"/>
    <col min="5" max="5" width="42" style="5" customWidth="1"/>
    <col min="6" max="6" width="20" style="5" customWidth="1"/>
    <col min="7" max="16384" width="9" style="5"/>
  </cols>
  <sheetData>
    <row r="1" spans="1:26" ht="26.25" customHeight="1">
      <c r="A1" s="18" t="s">
        <v>201</v>
      </c>
      <c r="B1" s="13"/>
      <c r="C1" s="13"/>
      <c r="D1" s="13"/>
      <c r="E1" s="13"/>
      <c r="F1" s="13"/>
      <c r="G1" s="4"/>
      <c r="H1" s="4"/>
      <c r="I1" s="4"/>
      <c r="J1" s="4"/>
      <c r="K1" s="4"/>
      <c r="L1" s="4"/>
      <c r="M1" s="4"/>
      <c r="N1" s="4"/>
      <c r="O1" s="4"/>
      <c r="P1" s="4"/>
      <c r="Q1" s="4"/>
      <c r="R1" s="4"/>
      <c r="S1" s="4"/>
      <c r="T1" s="4"/>
      <c r="U1" s="4"/>
      <c r="V1" s="4"/>
      <c r="W1" s="4"/>
      <c r="X1" s="4"/>
      <c r="Y1" s="4"/>
      <c r="Z1" s="4"/>
    </row>
    <row r="3" spans="1:26" ht="15">
      <c r="A3" s="6" t="s">
        <v>202</v>
      </c>
      <c r="B3" s="6" t="s">
        <v>203</v>
      </c>
      <c r="C3" s="6" t="s">
        <v>204</v>
      </c>
      <c r="D3" s="6" t="s">
        <v>205</v>
      </c>
      <c r="E3" s="6" t="s">
        <v>206</v>
      </c>
      <c r="F3" s="6" t="s">
        <v>207</v>
      </c>
    </row>
    <row r="4" spans="1:26">
      <c r="A4" s="7" t="s">
        <v>208</v>
      </c>
      <c r="B4" s="7"/>
      <c r="C4" s="7"/>
      <c r="D4" s="8"/>
      <c r="E4" s="7"/>
      <c r="F4" s="7"/>
    </row>
    <row r="5" spans="1:26">
      <c r="A5" s="7" t="s">
        <v>209</v>
      </c>
      <c r="B5" s="7"/>
      <c r="C5" s="7"/>
      <c r="D5" s="8"/>
      <c r="E5" s="7"/>
      <c r="F5" s="7"/>
    </row>
    <row r="6" spans="1:26">
      <c r="A6" s="7" t="s">
        <v>210</v>
      </c>
      <c r="B6" s="7"/>
      <c r="C6" s="7"/>
      <c r="D6" s="8"/>
      <c r="E6" s="7"/>
      <c r="F6" s="7"/>
    </row>
    <row r="7" spans="1:26">
      <c r="A7" s="7" t="s">
        <v>211</v>
      </c>
      <c r="B7" s="7"/>
      <c r="C7" s="7"/>
      <c r="D7" s="8"/>
      <c r="E7" s="7"/>
      <c r="F7" s="7"/>
    </row>
    <row r="10" spans="1:26">
      <c r="A10" s="16" t="s">
        <v>212</v>
      </c>
      <c r="B10" s="15"/>
      <c r="C10" s="15"/>
      <c r="D10" s="15"/>
      <c r="E10" s="15"/>
      <c r="F10" s="15"/>
    </row>
    <row r="11" spans="1:26">
      <c r="A11" s="17" t="s">
        <v>219</v>
      </c>
      <c r="B11" s="15"/>
      <c r="C11" s="15"/>
      <c r="D11" s="15"/>
      <c r="E11" s="15"/>
      <c r="F11" s="15"/>
    </row>
    <row r="12" spans="1:26">
      <c r="A12" s="15"/>
      <c r="B12" s="15"/>
      <c r="C12" s="15"/>
      <c r="D12" s="15"/>
      <c r="E12" s="15"/>
      <c r="F12" s="15"/>
    </row>
    <row r="13" spans="1:26">
      <c r="A13" s="15"/>
      <c r="B13" s="15"/>
      <c r="C13" s="15"/>
      <c r="D13" s="15"/>
      <c r="E13" s="15"/>
      <c r="F13" s="15"/>
    </row>
    <row r="14" spans="1:26">
      <c r="A14" s="15"/>
      <c r="B14" s="15"/>
      <c r="C14" s="15"/>
      <c r="D14" s="15"/>
      <c r="E14" s="15"/>
      <c r="F14" s="15"/>
    </row>
    <row r="15" spans="1:26">
      <c r="A15" s="15"/>
      <c r="B15" s="15"/>
      <c r="C15" s="15"/>
      <c r="D15" s="15"/>
      <c r="E15" s="15"/>
      <c r="F15" s="15"/>
    </row>
    <row r="16" spans="1:26">
      <c r="A16" s="15"/>
      <c r="B16" s="15"/>
      <c r="C16" s="15"/>
      <c r="D16" s="15"/>
      <c r="E16" s="15"/>
      <c r="F16" s="15"/>
    </row>
    <row r="17" spans="1:6">
      <c r="A17" s="15"/>
      <c r="B17" s="15"/>
      <c r="C17" s="15"/>
      <c r="D17" s="15"/>
      <c r="E17" s="15"/>
      <c r="F17" s="15"/>
    </row>
    <row r="18" spans="1:6">
      <c r="A18" s="15"/>
      <c r="B18" s="15"/>
      <c r="C18" s="15"/>
      <c r="D18" s="15"/>
      <c r="E18" s="15"/>
      <c r="F18" s="15"/>
    </row>
  </sheetData>
  <mergeCells count="3">
    <mergeCell ref="A1:F1"/>
    <mergeCell ref="A10:F10"/>
    <mergeCell ref="A11:F18"/>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xr:uid="{00000000-0002-0000-0400-000000000000}">
          <x14:formula1>
            <xm:f>Lists!$E$2:$E$5</xm:f>
          </x14:formula1>
          <xm:sqref>C4:C7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6"/>
  <sheetViews>
    <sheetView showGridLines="0" workbookViewId="0"/>
  </sheetViews>
  <sheetFormatPr defaultRowHeight="14.25"/>
  <cols>
    <col min="1" max="5" width="18" customWidth="1"/>
  </cols>
  <sheetData>
    <row r="1" spans="1:26" ht="15">
      <c r="A1" s="1" t="s">
        <v>2</v>
      </c>
      <c r="B1" s="1"/>
      <c r="C1" s="1" t="s">
        <v>23</v>
      </c>
      <c r="D1" s="1"/>
      <c r="E1" s="1" t="s">
        <v>204</v>
      </c>
      <c r="F1" s="2"/>
      <c r="G1" s="2"/>
      <c r="H1" s="2"/>
      <c r="I1" s="2"/>
      <c r="J1" s="2"/>
      <c r="K1" s="2"/>
      <c r="L1" s="2"/>
      <c r="M1" s="2"/>
      <c r="N1" s="2"/>
      <c r="O1" s="2"/>
      <c r="P1" s="2"/>
      <c r="Q1" s="2"/>
      <c r="R1" s="2"/>
      <c r="S1" s="2"/>
      <c r="T1" s="2"/>
      <c r="U1" s="2"/>
      <c r="V1" s="2"/>
      <c r="W1" s="2"/>
      <c r="X1" s="2"/>
      <c r="Y1" s="2"/>
      <c r="Z1" s="2"/>
    </row>
    <row r="2" spans="1:26">
      <c r="A2" t="s">
        <v>5</v>
      </c>
      <c r="C2" t="s">
        <v>213</v>
      </c>
      <c r="E2" t="s">
        <v>214</v>
      </c>
    </row>
    <row r="3" spans="1:26">
      <c r="A3" t="s">
        <v>8</v>
      </c>
      <c r="C3" t="s">
        <v>56</v>
      </c>
      <c r="E3" t="s">
        <v>215</v>
      </c>
    </row>
    <row r="4" spans="1:26">
      <c r="A4" t="s">
        <v>11</v>
      </c>
      <c r="C4" t="s">
        <v>31</v>
      </c>
      <c r="E4" t="s">
        <v>216</v>
      </c>
    </row>
    <row r="5" spans="1:26">
      <c r="A5" t="s">
        <v>14</v>
      </c>
      <c r="C5" t="s">
        <v>42</v>
      </c>
      <c r="E5" t="s">
        <v>217</v>
      </c>
    </row>
    <row r="6" spans="1:26">
      <c r="A6"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Control Sheet</vt:lpstr>
      <vt:lpstr>Metric Thresholds</vt:lpstr>
      <vt:lpstr>Evidence Register</vt:lpstr>
      <vt:lpstr>Sign-off</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Arocha</dc:creator>
  <cp:lastModifiedBy>Carlos Arocha</cp:lastModifiedBy>
  <dcterms:created xsi:type="dcterms:W3CDTF">2026-06-17T06:14:39Z</dcterms:created>
  <dcterms:modified xsi:type="dcterms:W3CDTF">2026-06-17T06:14:40Z</dcterms:modified>
</cp:coreProperties>
</file>